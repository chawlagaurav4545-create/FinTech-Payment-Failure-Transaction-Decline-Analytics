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7.xml"/>
  <Override ContentType="application/vnd.openxmlformats-officedocument.spreadsheetml.pivotCacheDefinition+xml" PartName="/xl/pivotCache/pivotCacheDefinition8.xml"/>
  <Override ContentType="application/vnd.openxmlformats-officedocument.spreadsheetml.pivotCacheDefinition+xml" PartName="/xl/pivotCache/pivotCacheDefinition9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pivotTable+xml" PartName="/xl/pivotTables/pivotTable8.xml"/>
  <Override ContentType="application/vnd.openxmlformats-officedocument.spreadsheetml.pivotTable+xml" PartName="/xl/pivotTables/pivotTable7.xml"/>
  <Override ContentType="application/vnd.openxmlformats-officedocument.spreadsheetml.pivotTable+xml" PartName="/xl/pivotTables/pivotTable9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atus Analysis" sheetId="1" r:id="rId5"/>
    <sheet state="visible" name="Payment Method" sheetId="2" r:id="rId6"/>
    <sheet state="visible" name="Bank Analysis" sheetId="3" r:id="rId7"/>
    <sheet state="visible" name="Failure Reasons" sheetId="4" r:id="rId8"/>
    <sheet state="visible" name="Monthly Trend" sheetId="5" r:id="rId9"/>
    <sheet state="visible" name="City Analysis" sheetId="6" r:id="rId10"/>
    <sheet state="visible" name="Merchant Analysis" sheetId="7" r:id="rId11"/>
    <sheet state="visible" name="Device Analysis" sheetId="8" r:id="rId12"/>
    <sheet state="visible" name="Card Analysis" sheetId="9" r:id="rId13"/>
    <sheet state="visible" name="Hourly Analysis" sheetId="10" r:id="rId14"/>
    <sheet state="visible" name="DASHBOARD" sheetId="11" r:id="rId15"/>
  </sheets>
  <definedNames/>
  <calcPr/>
  <pivotCaches>
    <pivotCache cacheId="0" r:id="rId16"/>
    <pivotCache cacheId="1" r:id="rId17"/>
    <pivotCache cacheId="2" r:id="rId18"/>
    <pivotCache cacheId="3" r:id="rId19"/>
    <pivotCache cacheId="4" r:id="rId20"/>
    <pivotCache cacheId="5" r:id="rId21"/>
    <pivotCache cacheId="6" r:id="rId22"/>
    <pivotCache cacheId="7" r:id="rId23"/>
    <pivotCache cacheId="8" r:id="rId24"/>
  </pivotCaches>
</workbook>
</file>

<file path=xl/sharedStrings.xml><?xml version="1.0" encoding="utf-8"?>
<sst xmlns="http://schemas.openxmlformats.org/spreadsheetml/2006/main" count="216" uniqueCount="111">
  <si>
    <t>failure_reason</t>
  </si>
  <si>
    <t>failed_transactions</t>
  </si>
  <si>
    <t>Network Timeout</t>
  </si>
  <si>
    <t>Invalid Card</t>
  </si>
  <si>
    <t>Insufficient Funds</t>
  </si>
  <si>
    <t>Technical Error</t>
  </si>
  <si>
    <t>Fraud Suspected</t>
  </si>
  <si>
    <t>Bank Server Down</t>
  </si>
  <si>
    <t>Transaction Limit Exceeded</t>
  </si>
  <si>
    <t>SUM of failed_transactions</t>
  </si>
  <si>
    <t>Grand Total</t>
  </si>
  <si>
    <t>status</t>
  </si>
  <si>
    <t>transaction_count</t>
  </si>
  <si>
    <t>SUCCESS</t>
  </si>
  <si>
    <t>FAILED</t>
  </si>
  <si>
    <t>DECLINED</t>
  </si>
  <si>
    <t>TIMEOUT</t>
  </si>
  <si>
    <t>SUCCESS RATE</t>
  </si>
  <si>
    <t>FAILURE RATE</t>
  </si>
  <si>
    <t>TOTAL TRANSACTIONS</t>
  </si>
  <si>
    <t xml:space="preserve"> </t>
  </si>
  <si>
    <t>payment_method</t>
  </si>
  <si>
    <t>total_transactions</t>
  </si>
  <si>
    <t>failure_rate</t>
  </si>
  <si>
    <t>Debit Card</t>
  </si>
  <si>
    <t>UPI</t>
  </si>
  <si>
    <t>Credit Card</t>
  </si>
  <si>
    <t>Net Banking</t>
  </si>
  <si>
    <t>SUM of total_transactions</t>
  </si>
  <si>
    <t>SUM of failure_rate</t>
  </si>
  <si>
    <t>Wallet</t>
  </si>
  <si>
    <t>month</t>
  </si>
  <si>
    <t>month &amp; year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</si>
  <si>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</si>
  <si>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</si>
  <si>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</si>
  <si>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</si>
  <si>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</si>
  <si>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</si>
  <si>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</si>
  <si>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</si>
  <si>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</si>
  <si>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</si>
  <si>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</si>
  <si>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</si>
  <si>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April 2025</t>
  </si>
  <si>
    <t>August 2025</t>
  </si>
  <si>
    <t>December 2025</t>
  </si>
  <si>
    <t>February 2025</t>
  </si>
  <si>
    <t>January 2025</t>
  </si>
  <si>
    <t>July 2025</t>
  </si>
  <si>
    <t>June 2025</t>
  </si>
  <si>
    <t>March 2025</t>
  </si>
  <si>
    <t>May 2025</t>
  </si>
  <si>
    <t>November 2025</t>
  </si>
  <si>
    <t>October 2025</t>
  </si>
  <si>
    <t>September 2025</t>
  </si>
  <si>
    <t>city</t>
  </si>
  <si>
    <t>Delhi</t>
  </si>
  <si>
    <t>Chennai</t>
  </si>
  <si>
    <t>Ahmedabad</t>
  </si>
  <si>
    <t>Kolkata</t>
  </si>
  <si>
    <t>Bangalore</t>
  </si>
  <si>
    <t>Hyderabad</t>
  </si>
  <si>
    <t>Pune</t>
  </si>
  <si>
    <t>Mumbai</t>
  </si>
  <si>
    <t>bank</t>
  </si>
  <si>
    <t>Kotak</t>
  </si>
  <si>
    <t>Axis</t>
  </si>
  <si>
    <t>Yes Bank</t>
  </si>
  <si>
    <t>ICICI</t>
  </si>
  <si>
    <t>HDFC</t>
  </si>
  <si>
    <t>SBI</t>
  </si>
  <si>
    <t>device</t>
  </si>
  <si>
    <t>Mobile</t>
  </si>
  <si>
    <t>Tablet</t>
  </si>
  <si>
    <t>Desktop</t>
  </si>
  <si>
    <t>card_type</t>
  </si>
  <si>
    <t>Mastercard</t>
  </si>
  <si>
    <t>Not Applicable</t>
  </si>
  <si>
    <t>RuPay</t>
  </si>
  <si>
    <t>Visa</t>
  </si>
  <si>
    <t>merchant_id</t>
  </si>
  <si>
    <t>failed_transaction_value</t>
  </si>
  <si>
    <t>SUM of failed_transaction_value</t>
  </si>
  <si>
    <t>hour</t>
  </si>
  <si>
    <t>12</t>
  </si>
  <si>
    <t>10</t>
  </si>
  <si>
    <t>00</t>
  </si>
  <si>
    <t>06</t>
  </si>
  <si>
    <t>01</t>
  </si>
  <si>
    <t>22</t>
  </si>
  <si>
    <t>02</t>
  </si>
  <si>
    <t>18</t>
  </si>
  <si>
    <t>03</t>
  </si>
  <si>
    <t>05</t>
  </si>
  <si>
    <t>04</t>
  </si>
  <si>
    <t>07</t>
  </si>
  <si>
    <t>09</t>
  </si>
  <si>
    <t>08</t>
  </si>
  <si>
    <t>13</t>
  </si>
  <si>
    <t>17</t>
  </si>
  <si>
    <t>23</t>
  </si>
  <si>
    <t>11</t>
  </si>
  <si>
    <t>15</t>
  </si>
  <si>
    <t>16</t>
  </si>
  <si>
    <t>14</t>
  </si>
  <si>
    <t>20</t>
  </si>
  <si>
    <t>21</t>
  </si>
  <si>
    <t>19</t>
  </si>
  <si>
    <t>-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</si>
</sst>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  <fill>
      <patternFill patternType="solid">
        <fgColor rgb="FFFFFF00"/>
        <bgColor rgb="FFFF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0" fillId="0" fontId="2" numFmtId="0" xfId="0" applyAlignment="1" applyFont="1">
      <alignment horizontal="center"/>
    </xf>
    <xf borderId="0" fillId="0" fontId="2" numFmtId="0" xfId="0" applyAlignment="1" applyFont="1">
      <alignment horizontal="center" readingOrder="0"/>
    </xf>
    <xf borderId="0" fillId="2" fontId="2" numFmtId="0" xfId="0" applyAlignment="1" applyFill="1" applyFont="1">
      <alignment readingOrder="0"/>
    </xf>
    <xf borderId="0" fillId="2" fontId="2" numFmtId="0" xfId="0" applyFill="1" applyFont="1"/>
    <xf borderId="0" fillId="3" fontId="3" numFmtId="0" xfId="0" applyAlignment="1" applyFill="1" applyFont="1">
      <alignment readingOrder="0"/>
    </xf>
    <xf borderId="0" fillId="3" fontId="3" numFmtId="0" xfId="0" applyFill="1" applyFont="1"/>
    <xf borderId="0" fillId="3" fontId="2" numFmtId="0" xfId="0" applyFill="1" applyFont="1"/>
    <xf borderId="0" fillId="3" fontId="3" numFmtId="0" xfId="0" applyAlignment="1" applyFill="1" applyFont="1">
      <alignment horizontal="center" readingOrder="0"/>
    </xf>
    <xf borderId="0" fillId="0" fontId="0" numFmtId="0" xfId="0" applyFont="1"/>
    <xf borderId="1" fillId="0" fontId="1" numFmtId="0" xfId="0" applyAlignment="1" applyBorder="1" applyFont="1">
      <alignment horizontal="center" readingOrder="0" vertical="top"/>
    </xf>
    <xf borderId="0" fillId="0" fontId="2" numFmtId="10" xfId="0" applyAlignment="1" applyFont="1" applyNumberFormat="1">
      <alignment readingOrder="0"/>
    </xf>
    <xf borderId="0" fillId="0" fontId="2" numFmtId="10" xfId="0" applyFont="1" applyNumberForma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pivotCacheDefinition" Target="pivotCache/pivotCacheDefinition5.xml"/><Relationship Id="rId11" Type="http://schemas.openxmlformats.org/officeDocument/2006/relationships/worksheet" Target="worksheets/sheet7.xml"/><Relationship Id="rId22" Type="http://schemas.openxmlformats.org/officeDocument/2006/relationships/pivotCacheDefinition" Target="pivotCache/pivotCacheDefinition7.xml"/><Relationship Id="rId10" Type="http://schemas.openxmlformats.org/officeDocument/2006/relationships/worksheet" Target="worksheets/sheet6.xml"/><Relationship Id="rId21" Type="http://schemas.openxmlformats.org/officeDocument/2006/relationships/pivotCacheDefinition" Target="pivotCache/pivotCacheDefinition6.xml"/><Relationship Id="rId13" Type="http://schemas.openxmlformats.org/officeDocument/2006/relationships/worksheet" Target="worksheets/sheet9.xml"/><Relationship Id="rId24" Type="http://schemas.openxmlformats.org/officeDocument/2006/relationships/pivotCacheDefinition" Target="pivotCache/pivotCacheDefinition9.xml"/><Relationship Id="rId12" Type="http://schemas.openxmlformats.org/officeDocument/2006/relationships/worksheet" Target="worksheets/sheet8.xml"/><Relationship Id="rId23" Type="http://schemas.openxmlformats.org/officeDocument/2006/relationships/pivotCacheDefinition" Target="pivotCache/pivotCacheDefinition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pivotCacheDefinition" Target="pivotCache/pivotCacheDefinition2.xml"/><Relationship Id="rId16" Type="http://schemas.openxmlformats.org/officeDocument/2006/relationships/pivotCacheDefinition" Target="pivotCache/pivotCacheDefinition1.xml"/><Relationship Id="rId5" Type="http://schemas.openxmlformats.org/officeDocument/2006/relationships/worksheet" Target="worksheets/sheet1.xml"/><Relationship Id="rId19" Type="http://schemas.openxmlformats.org/officeDocument/2006/relationships/pivotCacheDefinition" Target="pivotCache/pivotCacheDefinition4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3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400">
                <a:solidFill>
                  <a:srgbClr val="757575"/>
                </a:solidFill>
                <a:latin typeface="+mn-lt"/>
              </a:defRPr>
            </a:pPr>
            <a:r>
              <a:rPr b="1" sz="2400">
                <a:solidFill>
                  <a:srgbClr val="757575"/>
                </a:solidFill>
                <a:latin typeface="+mn-lt"/>
              </a:rPr>
              <a:t>FAILURE RATE BY PAYMENT METHOD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'Payment Method'!$D$1</c:f>
            </c:strRef>
          </c:tx>
          <c:spPr>
            <a:solidFill>
              <a:schemeClr val="accent1"/>
            </a:solidFill>
            <a:ln cmpd="sng">
              <a:noFill/>
            </a:ln>
          </c:spPr>
          <c:dPt>
            <c:idx val="0"/>
            <c:spPr>
              <a:solidFill>
                <a:srgbClr val="FF0000"/>
              </a:solidFill>
              <a:ln cmpd="sng">
                <a:noFill/>
              </a:ln>
            </c:spPr>
          </c:dPt>
          <c:cat>
            <c:strRef>
              <c:f>'Payment Method'!$A$2:$A$6</c:f>
            </c:strRef>
          </c:cat>
          <c:val>
            <c:numRef>
              <c:f>'Payment Method'!$D$2:$D$6</c:f>
              <c:numCache/>
            </c:numRef>
          </c:val>
        </c:ser>
        <c:axId val="166760454"/>
        <c:axId val="1658963032"/>
      </c:barChart>
      <c:catAx>
        <c:axId val="166760454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58963032"/>
      </c:catAx>
      <c:valAx>
        <c:axId val="1658963032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6760454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b="1">
                <a:solidFill>
                  <a:srgbClr val="757575"/>
                </a:solidFill>
                <a:latin typeface="+mn-lt"/>
              </a:rPr>
              <a:t>FAILURE REASONS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FF0000"/>
              </a:solidFill>
            </c:spPr>
          </c:dPt>
          <c:dPt>
            <c:idx val="1"/>
            <c:spPr>
              <a:solidFill>
                <a:srgbClr val="00FFFF"/>
              </a:solidFill>
            </c:spPr>
          </c:dPt>
          <c:dPt>
            <c:idx val="2"/>
            <c:spPr>
              <a:solidFill>
                <a:srgbClr val="38761D"/>
              </a:solidFill>
            </c:spPr>
          </c:dPt>
          <c:dPt>
            <c:idx val="3"/>
            <c:spPr>
              <a:solidFill>
                <a:srgbClr val="CC0000"/>
              </a:solidFill>
            </c:spPr>
          </c:dPt>
          <c:dPt>
            <c:idx val="4"/>
            <c:spPr>
              <a:solidFill>
                <a:srgbClr val="4BACC6"/>
              </a:solidFill>
            </c:spPr>
          </c:dPt>
          <c:dPt>
            <c:idx val="5"/>
            <c:spPr>
              <a:solidFill>
                <a:srgbClr val="F79646"/>
              </a:solidFill>
            </c:spPr>
          </c:dPt>
          <c:dPt>
            <c:idx val="6"/>
            <c:spPr>
              <a:solidFill>
                <a:srgbClr val="84A7D1"/>
              </a:solidFill>
            </c:spPr>
          </c:dPt>
          <c:dPt>
            <c:idx val="7"/>
            <c:spPr>
              <a:solidFill>
                <a:srgbClr val="674EA7"/>
              </a:solidFill>
            </c:spPr>
          </c:dPt>
          <c:dLbls>
            <c:showLegendKey val="0"/>
            <c:showVal val="0"/>
            <c:showCatName val="1"/>
            <c:showSerName val="0"/>
            <c:showPercent val="0"/>
            <c:showBubbleSize val="0"/>
            <c:showLeaderLines val="1"/>
          </c:dLbls>
          <c:cat>
            <c:strRef>
              <c:f>'Failure Reasons'!$A$1:$A$8</c:f>
            </c:strRef>
          </c:cat>
          <c:val>
            <c:numRef>
              <c:f>'Failure Reasons'!$B$1:$B$8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b="1">
                <a:solidFill>
                  <a:srgbClr val="757575"/>
                </a:solidFill>
                <a:latin typeface="+mn-lt"/>
              </a:rPr>
              <a:t>TRANSACTION FAILURE BY PAYMENT METHOD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bar"/>
        <c:grouping val="clustered"/>
        <c:ser>
          <c:idx val="0"/>
          <c:order val="0"/>
          <c:tx>
            <c:strRef>
              <c:f>'Payment Method'!$D$1</c:f>
            </c:strRef>
          </c:tx>
          <c:spPr>
            <a:solidFill>
              <a:schemeClr val="accent1"/>
            </a:solidFill>
            <a:ln cmpd="sng">
              <a:noFill/>
            </a:ln>
          </c:spPr>
          <c:dPt>
            <c:idx val="0"/>
            <c:spPr>
              <a:solidFill>
                <a:srgbClr val="FF0000"/>
              </a:solidFill>
              <a:ln cmpd="sng">
                <a:noFill/>
              </a:ln>
            </c:spPr>
          </c:dPt>
          <c:cat>
            <c:strRef>
              <c:f>'Payment Method'!$A$2:$A$6</c:f>
            </c:strRef>
          </c:cat>
          <c:val>
            <c:numRef>
              <c:f>'Payment Method'!$D$2:$D$6</c:f>
              <c:numCache/>
            </c:numRef>
          </c:val>
        </c:ser>
        <c:axId val="740303201"/>
        <c:axId val="164884272"/>
      </c:bar3DChart>
      <c:catAx>
        <c:axId val="740303201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4884272"/>
      </c:catAx>
      <c:valAx>
        <c:axId val="164884272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40303201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Chart3.png"/><Relationship Id="rId2" Type="http://schemas.openxmlformats.org/officeDocument/2006/relationships/image" Target="../media/Chart7.png"/><Relationship Id="rId3" Type="http://schemas.openxmlformats.org/officeDocument/2006/relationships/image" Target="../media/Chart9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image" Target="../media/Chart6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Chart4.png"/><Relationship Id="rId2" Type="http://schemas.openxmlformats.org/officeDocument/2006/relationships/image" Target="../media/Chart12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image" Target="../media/Chart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Chart8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Chart10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Chart11.png"/><Relationship Id="rId2" Type="http://schemas.openxmlformats.org/officeDocument/2006/relationships/image" Target="../media/Chart14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Chart13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Chart15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Chart16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Chart17.png"/><Relationship Id="rId2" Type="http://schemas.openxmlformats.org/officeDocument/2006/relationships/image" Target="../media/Chart18.png"/><Relationship Id="rId3" Type="http://schemas.openxmlformats.org/officeDocument/2006/relationships/chart" Target="../charts/chart3.xml"/><Relationship Id="rId4" Type="http://schemas.openxmlformats.org/officeDocument/2006/relationships/image" Target="../media/Chart20.png"/><Relationship Id="rId5" Type="http://schemas.openxmlformats.org/officeDocument/2006/relationships/image" Target="../media/Chart21.png"/><Relationship Id="rId6" Type="http://schemas.openxmlformats.org/officeDocument/2006/relationships/image" Target="../media/Chart22.png"/><Relationship Id="rId7" Type="http://schemas.openxmlformats.org/officeDocument/2006/relationships/image" Target="../media/Chart2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</xdr:colOff>
      <xdr:row>16</xdr:row>
      <xdr:rowOff>38100</xdr:rowOff>
    </xdr:from>
    <xdr:ext cx="2628900" cy="895350"/>
    <xdr:pic>
      <xdr:nvPicPr>
        <xdr:cNvPr id="1203328180" name="Chart3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9525</xdr:colOff>
      <xdr:row>16</xdr:row>
      <xdr:rowOff>9525</xdr:rowOff>
    </xdr:from>
    <xdr:ext cx="3028950" cy="942975"/>
    <xdr:pic>
      <xdr:nvPicPr>
        <xdr:cNvPr id="478327131" name="Chart7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9525</xdr:colOff>
      <xdr:row>16</xdr:row>
      <xdr:rowOff>9525</xdr:rowOff>
    </xdr:from>
    <xdr:ext cx="2924175" cy="942975"/>
    <xdr:pic>
      <xdr:nvPicPr>
        <xdr:cNvPr id="2118153273" name="Chart9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114300</xdr:colOff>
      <xdr:row>15</xdr:row>
      <xdr:rowOff>0</xdr:rowOff>
    </xdr:from>
    <xdr:ext cx="8039100" cy="3533775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9</xdr:col>
      <xdr:colOff>571500</xdr:colOff>
      <xdr:row>15</xdr:row>
      <xdr:rowOff>0</xdr:rowOff>
    </xdr:from>
    <xdr:ext cx="7486650" cy="3533775"/>
    <xdr:pic>
      <xdr:nvPicPr>
        <xdr:cNvPr id="1918737597" name="Chart6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619125</xdr:colOff>
      <xdr:row>13</xdr:row>
      <xdr:rowOff>142875</xdr:rowOff>
    </xdr:from>
    <xdr:ext cx="5715000" cy="4543425"/>
    <xdr:pic>
      <xdr:nvPicPr>
        <xdr:cNvPr id="1699425264" name="Chart4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428625</xdr:colOff>
      <xdr:row>13</xdr:row>
      <xdr:rowOff>142875</xdr:rowOff>
    </xdr:from>
    <xdr:ext cx="7724775" cy="4467225"/>
    <xdr:pic>
      <xdr:nvPicPr>
        <xdr:cNvPr id="1423800260" name="Chart12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28575</xdr:colOff>
      <xdr:row>8</xdr:row>
      <xdr:rowOff>161925</xdr:rowOff>
    </xdr:from>
    <xdr:ext cx="10325100" cy="58578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12</xdr:col>
      <xdr:colOff>19050</xdr:colOff>
      <xdr:row>4</xdr:row>
      <xdr:rowOff>104775</xdr:rowOff>
    </xdr:from>
    <xdr:ext cx="3571875" cy="647700"/>
    <xdr:pic>
      <xdr:nvPicPr>
        <xdr:cNvPr id="615750579" name="Chart2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676275</xdr:colOff>
      <xdr:row>15</xdr:row>
      <xdr:rowOff>9525</xdr:rowOff>
    </xdr:from>
    <xdr:ext cx="8867775" cy="3952875"/>
    <xdr:pic>
      <xdr:nvPicPr>
        <xdr:cNvPr id="1392313130" name="Chart8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390525</xdr:colOff>
      <xdr:row>10</xdr:row>
      <xdr:rowOff>38100</xdr:rowOff>
    </xdr:from>
    <xdr:ext cx="9820275" cy="4933950"/>
    <xdr:pic>
      <xdr:nvPicPr>
        <xdr:cNvPr id="1944872815" name="Chart10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38100</xdr:colOff>
      <xdr:row>14</xdr:row>
      <xdr:rowOff>0</xdr:rowOff>
    </xdr:from>
    <xdr:ext cx="6886575" cy="4152900"/>
    <xdr:pic>
      <xdr:nvPicPr>
        <xdr:cNvPr id="1237037798" name="Chart1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13</xdr:row>
      <xdr:rowOff>152400</xdr:rowOff>
    </xdr:from>
    <xdr:ext cx="7115175" cy="4152900"/>
    <xdr:pic>
      <xdr:nvPicPr>
        <xdr:cNvPr id="1367741515" name="Chart14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123825</xdr:colOff>
      <xdr:row>11</xdr:row>
      <xdr:rowOff>171450</xdr:rowOff>
    </xdr:from>
    <xdr:ext cx="6715125" cy="4133850"/>
    <xdr:pic>
      <xdr:nvPicPr>
        <xdr:cNvPr id="1883496200" name="Chart13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28575</xdr:colOff>
      <xdr:row>17</xdr:row>
      <xdr:rowOff>76200</xdr:rowOff>
    </xdr:from>
    <xdr:ext cx="8763000" cy="3533775"/>
    <xdr:pic>
      <xdr:nvPicPr>
        <xdr:cNvPr id="342702114" name="Chart15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190500</xdr:colOff>
      <xdr:row>17</xdr:row>
      <xdr:rowOff>47625</xdr:rowOff>
    </xdr:from>
    <xdr:ext cx="6953250" cy="3705225"/>
    <xdr:pic>
      <xdr:nvPicPr>
        <xdr:cNvPr id="745514315" name="Chart16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828675</xdr:colOff>
      <xdr:row>1</xdr:row>
      <xdr:rowOff>0</xdr:rowOff>
    </xdr:from>
    <xdr:ext cx="5791200" cy="3352800"/>
    <xdr:pic>
      <xdr:nvPicPr>
        <xdr:cNvPr id="1744250614" name="Chart17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828675</xdr:colOff>
      <xdr:row>18</xdr:row>
      <xdr:rowOff>114300</xdr:rowOff>
    </xdr:from>
    <xdr:ext cx="5705475" cy="3352800"/>
    <xdr:pic>
      <xdr:nvPicPr>
        <xdr:cNvPr id="2132393042" name="Chart18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19050</xdr:colOff>
      <xdr:row>1</xdr:row>
      <xdr:rowOff>0</xdr:rowOff>
    </xdr:from>
    <xdr:ext cx="5610225" cy="3352800"/>
    <xdr:graphicFrame>
      <xdr:nvGraphicFramePr>
        <xdr:cNvPr id="19" name="Chart 19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4</xdr:col>
      <xdr:colOff>342900</xdr:colOff>
      <xdr:row>1</xdr:row>
      <xdr:rowOff>0</xdr:rowOff>
    </xdr:from>
    <xdr:ext cx="5495925" cy="3352800"/>
    <xdr:pic>
      <xdr:nvPicPr>
        <xdr:cNvPr id="2018063207" name="Chart20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342900</xdr:colOff>
      <xdr:row>18</xdr:row>
      <xdr:rowOff>180975</xdr:rowOff>
    </xdr:from>
    <xdr:ext cx="5495925" cy="3352800"/>
    <xdr:pic>
      <xdr:nvPicPr>
        <xdr:cNvPr id="1420874283" name="Chart2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381000</xdr:colOff>
      <xdr:row>39</xdr:row>
      <xdr:rowOff>0</xdr:rowOff>
    </xdr:from>
    <xdr:ext cx="16383000" cy="3533775"/>
    <xdr:pic>
      <xdr:nvPicPr>
        <xdr:cNvPr id="357333500" name="Chart22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18</xdr:row>
      <xdr:rowOff>180975</xdr:rowOff>
    </xdr:from>
    <xdr:ext cx="5610225" cy="3352800"/>
    <xdr:pic>
      <xdr:nvPicPr>
        <xdr:cNvPr id="83638905" name="Chart23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7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8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9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D6" sheet="Payment Method"/>
  </cacheSource>
  <cacheFields>
    <cacheField name="payment_method" numFmtId="0">
      <sharedItems>
        <s v="Debit Card"/>
        <s v="UPI"/>
        <s v="Credit Card"/>
        <s v="Net Banking"/>
        <s v="Wallet"/>
      </sharedItems>
    </cacheField>
    <cacheField name="total_transactions" numFmtId="0">
      <sharedItems containsSemiMixedTypes="0" containsString="0" containsNumber="1" containsInteger="1">
        <n v="20146.0"/>
        <n v="44978.0"/>
        <n v="19929.0"/>
        <n v="9985.0"/>
        <n v="4962.0"/>
      </sharedItems>
    </cacheField>
    <cacheField name="failed_transactions" numFmtId="0">
      <sharedItems containsSemiMixedTypes="0" containsString="0" containsNumber="1" containsInteger="1">
        <n v="2447.0"/>
        <n v="5455.0"/>
        <n v="2403.0"/>
        <n v="1199.0"/>
        <n v="574.0"/>
      </sharedItems>
    </cacheField>
    <cacheField name="failure_rate" numFmtId="0">
      <sharedItems containsSemiMixedTypes="0" containsString="0" containsNumber="1">
        <n v="12.15"/>
        <n v="12.13"/>
        <n v="12.06"/>
        <n v="12.01"/>
        <n v="11.57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D7" sheet="Bank Analysis"/>
  </cacheSource>
  <cacheFields>
    <cacheField name="bank" numFmtId="0">
      <sharedItems>
        <s v="Kotak"/>
        <s v="Axis"/>
        <s v="Yes Bank"/>
        <s v="ICICI"/>
        <s v="HDFC"/>
        <s v="SBI"/>
      </sharedItems>
    </cacheField>
    <cacheField name="total_transactions" numFmtId="0">
      <sharedItems containsSemiMixedTypes="0" containsString="0" containsNumber="1" containsInteger="1">
        <n v="16631.0"/>
        <n v="16700.0"/>
        <n v="16797.0"/>
        <n v="16634.0"/>
        <n v="16621.0"/>
        <n v="16617.0"/>
      </sharedItems>
    </cacheField>
    <cacheField name="failed_transactions" numFmtId="0">
      <sharedItems containsSemiMixedTypes="0" containsString="0" containsNumber="1" containsInteger="1">
        <n v="2057.0"/>
        <n v="2045.0"/>
        <n v="2033.0"/>
        <n v="2010.0"/>
        <n v="1968.0"/>
        <n v="1965.0"/>
      </sharedItems>
    </cacheField>
    <cacheField name="failure_rate" numFmtId="10">
      <sharedItems containsSemiMixedTypes="0" containsString="0" containsNumber="1">
        <n v="0.1237"/>
        <n v="0.1225"/>
        <n v="0.121"/>
        <n v="0.1208"/>
        <n v="0.1184"/>
        <n v="0.1183"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B8" sheet="Failure Reasons"/>
  </cacheSource>
  <cacheFields>
    <cacheField name="failure_reason" numFmtId="0">
      <sharedItems>
        <s v="Network Timeout"/>
        <s v="Invalid Card"/>
        <s v="Insufficient Funds"/>
        <s v="Technical Error"/>
        <s v="Fraud Suspected"/>
        <s v="Bank Server Down"/>
        <s v="Transaction Limit Exceeded"/>
      </sharedItems>
    </cacheField>
    <cacheField name="failed_transactions" numFmtId="0">
      <sharedItems containsSemiMixedTypes="0" containsString="0" containsNumber="1" containsInteger="1">
        <n v="1743.0"/>
        <n v="1735.0"/>
        <n v="1731.0"/>
        <n v="1726.0"/>
        <n v="1723.0"/>
        <n v="1714.0"/>
        <n v="1706.0"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E13" sheet="Monthly Trend"/>
  </cacheSource>
  <cacheFields>
    <cacheField name="month" numFmtId="0">
      <sharedItems>
        <s v="2025-01"/>
        <s v="2025-02"/>
        <s v="2025-03"/>
        <s v="2025-04"/>
        <s v="2025-05"/>
        <s v="2025-06"/>
        <s v="2025-07"/>
        <s v="2025-08"/>
        <s v="2025-09"/>
        <s v="2025-10"/>
        <s v="2025-11"/>
        <s v="2025-12"/>
      </sharedItems>
    </cacheField>
    <cacheField name="month &amp; year" numFmtId="0">
      <sharedItems>
        <s v="January 2025"/>
        <s v="February 2025"/>
        <s v="March 2025"/>
        <s v="April 2025"/>
        <s v="May 2025"/>
        <s v="June 2025"/>
        <s v="July 2025"/>
        <s v="August 2025"/>
        <s v="September 2025"/>
        <s v="October 2025"/>
        <s v="November 2025"/>
        <s v="December 2025"/>
      </sharedItems>
    </cacheField>
    <cacheField name="total_transactions" numFmtId="0">
      <sharedItems containsSemiMixedTypes="0" containsString="0" containsNumber="1" containsInteger="1">
        <n v="8571.0"/>
        <n v="7577.0"/>
        <n v="8515.0"/>
        <n v="8080.0"/>
        <n v="8528.0"/>
        <n v="8256.0"/>
        <n v="8526.0"/>
        <n v="8590.0"/>
        <n v="8269.0"/>
        <n v="8655.0"/>
        <n v="8216.0"/>
        <n v="8217.0"/>
      </sharedItems>
    </cacheField>
    <cacheField name="failed_transactions" numFmtId="0">
      <sharedItems containsSemiMixedTypes="0" containsString="0" containsNumber="1" containsInteger="1">
        <n v="1069.0"/>
        <n v="903.0"/>
        <n v="1084.0"/>
        <n v="946.0"/>
        <n v="1027.0"/>
        <n v="1021.0"/>
        <n v="1026.0"/>
        <n v="1001.0"/>
        <n v="1013.0"/>
        <n v="978.0"/>
        <n v="989.0"/>
      </sharedItems>
    </cacheField>
    <cacheField name="failure_rate" numFmtId="0">
      <sharedItems containsSemiMixedTypes="0" containsString="0" containsNumber="1">
        <n v="12.47"/>
        <n v="11.92"/>
        <n v="12.73"/>
        <n v="11.71"/>
        <n v="12.04"/>
        <n v="12.37"/>
        <n v="12.03"/>
        <n v="11.65"/>
        <n v="12.35"/>
        <n v="11.7"/>
        <n v="11.9"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C9" sheet="City Analysis"/>
  </cacheSource>
  <cacheFields>
    <cacheField name="city" numFmtId="0">
      <sharedItems>
        <s v="Delhi"/>
        <s v="Chennai"/>
        <s v="Ahmedabad"/>
        <s v="Kolkata"/>
        <s v="Bangalore"/>
        <s v="Hyderabad"/>
        <s v="Pune"/>
        <s v="Mumbai"/>
      </sharedItems>
    </cacheField>
    <cacheField name="total_transactions" numFmtId="0">
      <sharedItems containsSemiMixedTypes="0" containsString="0" containsNumber="1" containsInteger="1">
        <n v="12557.0"/>
        <n v="12479.0"/>
        <n v="12399.0"/>
        <n v="12298.0"/>
        <n v="12704.0"/>
        <n v="12358.0"/>
        <n v="12577.0"/>
        <n v="12628.0"/>
      </sharedItems>
    </cacheField>
    <cacheField name="failure_rate" numFmtId="0">
      <sharedItems containsSemiMixedTypes="0" containsString="0" containsNumber="1">
        <n v="12.38"/>
        <n v="12.32"/>
        <n v="12.28"/>
        <n v="12.21"/>
        <n v="12.07"/>
        <n v="12.02"/>
        <n v="11.75"/>
        <n v="11.59"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C11" sheet="Merchant Analysis"/>
  </cacheSource>
  <cacheFields>
    <cacheField name="merchant_id" numFmtId="0">
      <sharedItems containsSemiMixedTypes="0" containsString="0" containsNumber="1" containsInteger="1">
        <n v="1905.0"/>
        <n v="1992.0"/>
        <n v="2513.0"/>
        <n v="2155.0"/>
        <n v="2124.0"/>
        <n v="2023.0"/>
        <n v="1844.0"/>
        <n v="1768.0"/>
        <n v="1654.0"/>
        <n v="1168.0"/>
      </sharedItems>
    </cacheField>
    <cacheField name="failed_transactions" numFmtId="0">
      <sharedItems containsSemiMixedTypes="0" containsString="0" containsNumber="1" containsInteger="1">
        <n v="18.0"/>
        <n v="16.0"/>
        <n v="15.0"/>
        <n v="14.0"/>
      </sharedItems>
    </cacheField>
    <cacheField name="failed_transaction_value" numFmtId="0">
      <sharedItems containsSemiMixedTypes="0" containsString="0" containsNumber="1">
        <n v="41087.49999999999"/>
        <n v="18887.67000000001"/>
        <n v="44494.74"/>
        <n v="16590.04"/>
        <n v="25797.69"/>
        <n v="14758.4"/>
        <n v="15418.02"/>
        <n v="24114.28"/>
        <n v="20984.98"/>
        <n v="44203.21999999999"/>
      </sharedItems>
    </cacheField>
  </cacheFields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C4" sheet="Device Analysis"/>
  </cacheSource>
  <cacheFields>
    <cacheField name="device" numFmtId="0">
      <sharedItems>
        <s v="Mobile"/>
        <s v="Tablet"/>
        <s v="Desktop"/>
      </sharedItems>
    </cacheField>
    <cacheField name="total_transactions" numFmtId="0">
      <sharedItems containsSemiMixedTypes="0" containsString="0" containsNumber="1" containsInteger="1">
        <n v="70037.0"/>
        <n v="5062.0"/>
        <n v="24901.0"/>
      </sharedItems>
    </cacheField>
    <cacheField name="failure_rate" numFmtId="0">
      <sharedItems containsSemiMixedTypes="0" containsString="0" containsNumber="1">
        <n v="12.14"/>
        <n v="12.11"/>
        <n v="11.9"/>
      </sharedItems>
    </cacheField>
  </cacheFields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C5" sheet="Card Analysis"/>
  </cacheSource>
  <cacheFields>
    <cacheField name="card_type" numFmtId="0">
      <sharedItems>
        <s v="Mastercard"/>
        <s v="Not Applicable"/>
        <s v="RuPay"/>
        <s v="Visa"/>
      </sharedItems>
    </cacheField>
    <cacheField name="total_transactions" numFmtId="0">
      <sharedItems containsSemiMixedTypes="0" containsString="0" containsNumber="1" containsInteger="1">
        <n v="25170.0"/>
        <n v="24931.0"/>
        <n v="24915.0"/>
        <n v="24984.0"/>
      </sharedItems>
    </cacheField>
    <cacheField name="failure_rate" numFmtId="0">
      <sharedItems containsSemiMixedTypes="0" containsString="0" containsNumber="1">
        <n v="12.39"/>
        <n v="12.12"/>
        <n v="11.95"/>
        <n v="11.84"/>
      </sharedItems>
    </cacheField>
  </cacheFields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C25" sheet="Hourly Analysis"/>
  </cacheSource>
  <cacheFields>
    <cacheField name="hour" numFmtId="0">
      <sharedItems>
        <s v="12"/>
        <s v="10"/>
        <s v="06"/>
        <s v="22"/>
        <s v="18"/>
        <s v="05"/>
        <s v="07"/>
        <s v="09"/>
        <s v="08"/>
        <s v="04"/>
        <s v="13"/>
        <s v="17"/>
        <s v="23"/>
        <s v="15"/>
        <s v="16"/>
        <s v="14"/>
        <s v="20"/>
        <s v="02"/>
        <s v="03"/>
        <s v="00"/>
        <s v="21"/>
        <s v="11"/>
        <s v="19"/>
        <s v="01"/>
      </sharedItems>
    </cacheField>
    <cacheField name="total_transactions" numFmtId="0">
      <sharedItems containsSemiMixedTypes="0" containsString="0" containsNumber="1" containsInteger="1">
        <n v="4119.0"/>
        <n v="4157.0"/>
        <n v="4063.0"/>
        <n v="4081.0"/>
        <n v="4059.0"/>
        <n v="4205.0"/>
        <n v="4121.0"/>
        <n v="4144.0"/>
        <n v="4160.0"/>
        <n v="4206.0"/>
        <n v="4126.0"/>
        <n v="4275.0"/>
        <n v="4279.0"/>
        <n v="4251.0"/>
        <n v="4086.0"/>
        <n v="4197.0"/>
        <n v="4140.0"/>
        <n v="4258.0"/>
        <n v="4183.0"/>
        <n v="4208.0"/>
        <n v="4194.0"/>
        <n v="4141.0"/>
        <n v="4151.0"/>
        <n v="4196.0"/>
      </sharedItems>
    </cacheField>
    <cacheField name="failure_rate" numFmtId="0">
      <sharedItems containsSemiMixedTypes="0" containsString="0" containsNumber="1">
        <n v="13.18"/>
        <n v="13.16"/>
        <n v="12.48"/>
        <n v="12.42"/>
        <n v="12.27"/>
        <n v="12.25"/>
        <n v="12.21"/>
        <n v="12.19"/>
        <n v="12.16"/>
        <n v="12.15"/>
        <n v="12.14"/>
        <n v="12.09"/>
        <n v="12.04"/>
        <n v="11.94"/>
        <n v="11.93"/>
        <n v="11.91"/>
        <n v="11.88"/>
        <n v="11.79"/>
        <n v="11.66"/>
        <n v="11.49"/>
        <n v="11.44"/>
        <n v="11.15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7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8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9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pivotTable1.xml><?xml version="1.0" encoding="utf-8"?>
<pivotTableDefinition xmlns="http://schemas.openxmlformats.org/spreadsheetml/2006/main" name="Payment Method" cacheId="0" dataCaption="" compact="0" compactData="0">
  <location ref="K5:N11" firstHeaderRow="0" firstDataRow="2" firstDataCol="0"/>
  <pivotFields>
    <pivotField name="payment_method" axis="axisRow" compact="0" outline="0" multipleItemSelectionAllowed="1" showAll="0" sortType="ascending">
      <items>
        <item x="2"/>
        <item x="0"/>
        <item x="3"/>
        <item x="1"/>
        <item x="4"/>
        <item t="default"/>
      </items>
    </pivotField>
    <pivotField name="total_transactions" dataField="1" compact="0" outline="0" multipleItemSelectionAllowed="1" showAll="0">
      <items>
        <item x="0"/>
        <item x="1"/>
        <item x="2"/>
        <item x="3"/>
        <item x="4"/>
        <item t="default"/>
      </items>
    </pivotField>
    <pivotField name="failed_transactions" dataField="1" compact="0" outline="0" multipleItemSelectionAllowed="1" showAll="0">
      <items>
        <item x="0"/>
        <item x="1"/>
        <item x="2"/>
        <item x="3"/>
        <item x="4"/>
        <item t="default"/>
      </items>
    </pivotField>
    <pivotField name="failure_rate" dataField="1" compact="0" outline="0" multipleItemSelectionAllowed="1" showAll="0">
      <items>
        <item x="0"/>
        <item x="1"/>
        <item x="2"/>
        <item x="3"/>
        <item x="4"/>
        <item t="default"/>
      </items>
    </pivotField>
  </pivotFields>
  <rowFields>
    <field x="0"/>
  </rowFields>
  <colFields>
    <field x="-2"/>
  </colFields>
  <dataFields>
    <dataField name="SUM of total_transactions" fld="1" baseField="0"/>
    <dataField name="SUM of failed_transactions" fld="2" baseField="0"/>
    <dataField name="SUM of failure_rate" fld="3" baseField="0"/>
  </dataFields>
</pivotTableDefinition>
</file>

<file path=xl/pivotTables/pivotTable2.xml><?xml version="1.0" encoding="utf-8"?>
<pivotTableDefinition xmlns="http://schemas.openxmlformats.org/spreadsheetml/2006/main" name="Bank Analysis" cacheId="1" dataCaption="" compact="0" compactData="0">
  <location ref="L3:O10" firstHeaderRow="0" firstDataRow="2" firstDataCol="0"/>
  <pivotFields>
    <pivotField name="bank" axis="axisRow" compact="0" outline="0" multipleItemSelectionAllowed="1" showAll="0" sortType="ascending">
      <items>
        <item x="1"/>
        <item x="4"/>
        <item x="3"/>
        <item x="0"/>
        <item x="5"/>
        <item x="2"/>
        <item t="default"/>
      </items>
    </pivotField>
    <pivotField name="total_transactions" dataField="1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failed_transactions" dataField="1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failure_rate" dataField="1" compact="0" numFmtId="10" outline="0" multipleItemSelectionAllowed="1" showAll="0">
      <items>
        <item x="0"/>
        <item x="1"/>
        <item x="2"/>
        <item x="3"/>
        <item x="4"/>
        <item x="5"/>
        <item t="default"/>
      </items>
    </pivotField>
  </pivotFields>
  <rowFields>
    <field x="0"/>
  </rowFields>
  <colFields>
    <field x="-2"/>
  </colFields>
  <dataFields>
    <dataField name="SUM of total_transactions" fld="1" baseField="0"/>
    <dataField name="SUM of failed_transactions" fld="2" baseField="0"/>
    <dataField name="SUM of failure_rate" fld="3" baseField="0"/>
  </dataFields>
</pivotTableDefinition>
</file>

<file path=xl/pivotTables/pivotTable3.xml><?xml version="1.0" encoding="utf-8"?>
<pivotTableDefinition xmlns="http://schemas.openxmlformats.org/spreadsheetml/2006/main" name="Failure Reasons" cacheId="2" dataCaption="" compact="0" compactData="0">
  <location ref="M10:N18" firstHeaderRow="0" firstDataRow="1" firstDataCol="0"/>
  <pivotFields>
    <pivotField name="failure_reason" axis="axisRow" compact="0" outline="0" multipleItemSelectionAllowed="1" showAll="0" sortType="ascending">
      <items>
        <item x="5"/>
        <item x="4"/>
        <item x="2"/>
        <item x="1"/>
        <item x="0"/>
        <item x="3"/>
        <item x="6"/>
        <item t="default"/>
      </items>
    </pivotField>
    <pivotField name="failed_transactions" dataField="1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</pivotFields>
  <rowFields>
    <field x="0"/>
  </rowFields>
  <dataFields>
    <dataField name="SUM of failed_transactions" fld="1" baseField="0"/>
  </dataFields>
</pivotTableDefinition>
</file>

<file path=xl/pivotTables/pivotTable4.xml><?xml version="1.0" encoding="utf-8"?>
<pivotTableDefinition xmlns="http://schemas.openxmlformats.org/spreadsheetml/2006/main" name="Monthly Trend" cacheId="3" dataCaption="" compact="0" compactData="0">
  <location ref="J14:L27" firstHeaderRow="0" firstDataRow="2" firstDataCol="0"/>
  <pivotFields>
    <pivotField name="month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month &amp; year" axis="axisRow" compact="0" outline="0" multipleItemSelectionAllowed="1" showAll="0" sortType="ascending">
      <items>
        <item x="3"/>
        <item x="7"/>
        <item x="11"/>
        <item x="1"/>
        <item x="0"/>
        <item x="6"/>
        <item x="5"/>
        <item x="2"/>
        <item x="4"/>
        <item x="10"/>
        <item x="9"/>
        <item x="8"/>
        <item t="default"/>
      </items>
    </pivotField>
    <pivotField name="total_transaction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failed_transaction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failure_r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</pivotFields>
  <rowFields>
    <field x="1"/>
  </rowFields>
  <colFields>
    <field x="-2"/>
  </colFields>
  <dataFields>
    <dataField name="SUM of total_transactions" fld="2" baseField="0"/>
    <dataField name="SUM of failed_transactions" fld="3" baseField="0"/>
  </dataFields>
</pivotTableDefinition>
</file>

<file path=xl/pivotTables/pivotTable5.xml><?xml version="1.0" encoding="utf-8"?>
<pivotTableDefinition xmlns="http://schemas.openxmlformats.org/spreadsheetml/2006/main" name="City Analysis" cacheId="4" dataCaption="" compact="0" compactData="0">
  <location ref="L14:N23" firstHeaderRow="0" firstDataRow="2" firstDataCol="0"/>
  <pivotFields>
    <pivotField name="city" axis="axisRow" compact="0" outline="0" multipleItemSelectionAllowed="1" showAll="0" sortType="ascending">
      <items>
        <item x="2"/>
        <item x="4"/>
        <item x="1"/>
        <item x="0"/>
        <item x="5"/>
        <item x="3"/>
        <item x="7"/>
        <item x="6"/>
        <item t="default"/>
      </items>
    </pivotField>
    <pivotField name="total_transaction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failure_rat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</pivotFields>
  <rowFields>
    <field x="0"/>
  </rowFields>
  <colFields>
    <field x="-2"/>
  </colFields>
  <dataFields>
    <dataField name="SUM of total_transactions" fld="1" baseField="0"/>
    <dataField name="SUM of failure_rate" fld="2" baseField="0"/>
  </dataFields>
</pivotTableDefinition>
</file>

<file path=xl/pivotTables/pivotTable6.xml><?xml version="1.0" encoding="utf-8"?>
<pivotTableDefinition xmlns="http://schemas.openxmlformats.org/spreadsheetml/2006/main" name="Merchant Analysis" cacheId="5" dataCaption="" compact="0" compactData="0">
  <location ref="K1:M12" firstHeaderRow="0" firstDataRow="2" firstDataCol="0"/>
  <pivotFields>
    <pivotField name="merchant_id" axis="axisRow" compact="0" outline="0" multipleItemSelectionAllowed="1" showAll="0" sortType="ascending">
      <items>
        <item x="9"/>
        <item x="8"/>
        <item x="7"/>
        <item x="6"/>
        <item x="0"/>
        <item x="1"/>
        <item x="5"/>
        <item x="4"/>
        <item x="3"/>
        <item x="2"/>
        <item t="default"/>
      </items>
    </pivotField>
    <pivotField name="failed_transactions" dataField="1" compact="0" outline="0" multipleItemSelectionAllowed="1" showAll="0">
      <items>
        <item x="0"/>
        <item x="1"/>
        <item x="2"/>
        <item x="3"/>
        <item t="default"/>
      </items>
    </pivotField>
    <pivotField name="failed_transaction_valu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</pivotFields>
  <rowFields>
    <field x="0"/>
  </rowFields>
  <colFields>
    <field x="-2"/>
  </colFields>
  <dataFields>
    <dataField name="SUM of failed_transactions" fld="1" baseField="0"/>
    <dataField name="SUM of failed_transaction_value" fld="2" baseField="0"/>
  </dataFields>
</pivotTableDefinition>
</file>

<file path=xl/pivotTables/pivotTable7.xml><?xml version="1.0" encoding="utf-8"?>
<pivotTableDefinition xmlns="http://schemas.openxmlformats.org/spreadsheetml/2006/main" name="Device Analysis" cacheId="6" dataCaption="" compact="0" compactData="0">
  <location ref="H20:J24" firstHeaderRow="0" firstDataRow="2" firstDataCol="0"/>
  <pivotFields>
    <pivotField name="device" axis="axisRow" compact="0" outline="0" multipleItemSelectionAllowed="1" showAll="0" sortType="ascending">
      <items>
        <item x="2"/>
        <item x="0"/>
        <item x="1"/>
        <item t="default"/>
      </items>
    </pivotField>
    <pivotField name="total_transactions" dataField="1" compact="0" outline="0" multipleItemSelectionAllowed="1" showAll="0">
      <items>
        <item x="0"/>
        <item x="1"/>
        <item x="2"/>
        <item t="default"/>
      </items>
    </pivotField>
    <pivotField name="failure_rate" dataField="1" compact="0" outline="0" multipleItemSelectionAllowed="1" showAll="0">
      <items>
        <item x="0"/>
        <item x="1"/>
        <item x="2"/>
        <item t="default"/>
      </items>
    </pivotField>
  </pivotFields>
  <rowFields>
    <field x="0"/>
  </rowFields>
  <colFields>
    <field x="-2"/>
  </colFields>
  <dataFields>
    <dataField name="SUM of total_transactions" fld="1" baseField="0"/>
    <dataField name="SUM of failure_rate" fld="2" baseField="0"/>
  </dataFields>
</pivotTableDefinition>
</file>

<file path=xl/pivotTables/pivotTable8.xml><?xml version="1.0" encoding="utf-8"?>
<pivotTableDefinition xmlns="http://schemas.openxmlformats.org/spreadsheetml/2006/main" name="Card Analysis" cacheId="7" dataCaption="" compact="0" compactData="0">
  <location ref="A12:C17" firstHeaderRow="0" firstDataRow="2" firstDataCol="0"/>
  <pivotFields>
    <pivotField name="card_type" axis="axisRow" compact="0" outline="0" multipleItemSelectionAllowed="1" showAll="0" sortType="ascending">
      <items>
        <item x="0"/>
        <item x="1"/>
        <item x="2"/>
        <item x="3"/>
        <item t="default"/>
      </items>
    </pivotField>
    <pivotField name="total_transactions" dataField="1" compact="0" outline="0" multipleItemSelectionAllowed="1" showAll="0">
      <items>
        <item x="0"/>
        <item x="1"/>
        <item x="2"/>
        <item x="3"/>
        <item t="default"/>
      </items>
    </pivotField>
    <pivotField name="failure_rate" dataField="1" compact="0" outline="0" multipleItemSelectionAllowed="1" showAll="0">
      <items>
        <item x="0"/>
        <item x="1"/>
        <item x="2"/>
        <item x="3"/>
        <item t="default"/>
      </items>
    </pivotField>
  </pivotFields>
  <rowFields>
    <field x="0"/>
  </rowFields>
  <colFields>
    <field x="-2"/>
  </colFields>
  <dataFields>
    <dataField name="SUM of total_transactions" fld="1" baseField="0"/>
    <dataField name="SUM of failure_rate" fld="2" baseField="0"/>
  </dataFields>
</pivotTableDefinition>
</file>

<file path=xl/pivotTables/pivotTable9.xml><?xml version="1.0" encoding="utf-8"?>
<pivotTableDefinition xmlns="http://schemas.openxmlformats.org/spreadsheetml/2006/main" name="Hourly Analysis" cacheId="8" dataCaption="" compact="0" compactData="0">
  <location ref="F2:H27" firstHeaderRow="0" firstDataRow="2" firstDataCol="0"/>
  <pivotFields>
    <pivotField name="hour" axis="axisRow" compact="0" outline="0" multipleItemSelectionAllowed="1" showAll="0" sortType="ascending">
      <items>
        <item x="19"/>
        <item x="23"/>
        <item x="17"/>
        <item x="18"/>
        <item x="9"/>
        <item x="5"/>
        <item x="2"/>
        <item x="6"/>
        <item x="8"/>
        <item x="7"/>
        <item x="1"/>
        <item x="21"/>
        <item x="0"/>
        <item x="10"/>
        <item x="15"/>
        <item x="13"/>
        <item x="14"/>
        <item x="11"/>
        <item x="4"/>
        <item x="22"/>
        <item x="16"/>
        <item x="20"/>
        <item x="3"/>
        <item x="12"/>
        <item t="default"/>
      </items>
    </pivotField>
    <pivotField name="total_transaction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failure_rat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</pivotFields>
  <rowFields>
    <field x="0"/>
  </rowFields>
  <colFields>
    <field x="-2"/>
  </colFields>
  <dataFields>
    <dataField name="SUM of total_transactions" fld="1" baseField="0"/>
    <dataField name="SUM of failure_rate" fld="2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7.xml"/><Relationship Id="rId2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8.xml"/><Relationship Id="rId2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9.xml"/><Relationship Id="rId2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4.71"/>
    <col customWidth="1" min="2" max="2" width="24.14"/>
    <col customWidth="1" min="3" max="3" width="15.43"/>
    <col customWidth="1" min="4" max="4" width="16.14"/>
    <col customWidth="1" min="5" max="5" width="8.71"/>
    <col customWidth="1" min="6" max="6" width="16.14"/>
    <col customWidth="1" min="7" max="7" width="7.43"/>
    <col customWidth="1" min="8" max="8" width="13.57"/>
    <col customWidth="1" min="9" max="26" width="8.71"/>
  </cols>
  <sheetData>
    <row r="1">
      <c r="A1" s="1" t="s">
        <v>11</v>
      </c>
      <c r="B1" s="1" t="s">
        <v>12</v>
      </c>
    </row>
    <row r="2">
      <c r="A2" s="2" t="s">
        <v>13</v>
      </c>
      <c r="B2" s="2">
        <v>87922.0</v>
      </c>
    </row>
    <row r="3">
      <c r="A3" s="2" t="s">
        <v>14</v>
      </c>
      <c r="B3" s="2">
        <v>6077.0</v>
      </c>
    </row>
    <row r="4">
      <c r="A4" s="2" t="s">
        <v>15</v>
      </c>
      <c r="B4" s="2">
        <v>4054.0</v>
      </c>
    </row>
    <row r="5">
      <c r="A5" s="2" t="s">
        <v>16</v>
      </c>
      <c r="B5" s="2">
        <v>1947.0</v>
      </c>
    </row>
    <row r="6">
      <c r="F6" s="4" t="s">
        <v>17</v>
      </c>
      <c r="H6" s="4" t="s">
        <v>18</v>
      </c>
    </row>
    <row r="7">
      <c r="A7" s="5" t="s">
        <v>19</v>
      </c>
      <c r="B7" s="6">
        <f>SUM(B2:B5)</f>
        <v>100000</v>
      </c>
      <c r="F7" s="3">
        <f>(B2/B7 *100)</f>
        <v>87.922</v>
      </c>
      <c r="H7" s="2">
        <f>(B3/B7 *100)</f>
        <v>6.077</v>
      </c>
    </row>
    <row r="14">
      <c r="A14" s="7" t="s">
        <v>20</v>
      </c>
      <c r="B14" s="8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</row>
    <row r="15">
      <c r="A15" s="10"/>
      <c r="B15" s="10"/>
      <c r="C15" s="10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</row>
    <row r="16">
      <c r="B16" s="8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9.0"/>
    <col customWidth="1" min="2" max="2" width="18.43"/>
    <col customWidth="1" min="3" max="3" width="22.71"/>
    <col customWidth="1" min="4" max="4" width="19.14"/>
    <col customWidth="1" min="5" max="10" width="8.71"/>
    <col customWidth="1" min="11" max="11" width="16.71"/>
    <col customWidth="1" min="12" max="12" width="20.29"/>
    <col customWidth="1" min="13" max="13" width="19.14"/>
    <col customWidth="1" min="14" max="14" width="21.43"/>
    <col customWidth="1" min="15" max="26" width="8.71"/>
  </cols>
  <sheetData>
    <row r="1">
      <c r="A1" s="1" t="s">
        <v>21</v>
      </c>
      <c r="B1" s="1" t="s">
        <v>22</v>
      </c>
      <c r="C1" s="1" t="s">
        <v>1</v>
      </c>
      <c r="D1" s="1" t="s">
        <v>23</v>
      </c>
    </row>
    <row r="2">
      <c r="A2" s="2" t="s">
        <v>24</v>
      </c>
      <c r="B2" s="2">
        <v>20146.0</v>
      </c>
      <c r="C2" s="2">
        <v>2447.0</v>
      </c>
      <c r="D2" s="2">
        <v>12.15</v>
      </c>
    </row>
    <row r="3">
      <c r="A3" s="2" t="s">
        <v>25</v>
      </c>
      <c r="B3" s="2">
        <v>44978.0</v>
      </c>
      <c r="C3" s="2">
        <v>5455.0</v>
      </c>
      <c r="D3" s="2">
        <v>12.13</v>
      </c>
    </row>
    <row r="4">
      <c r="A4" s="2" t="s">
        <v>26</v>
      </c>
      <c r="B4" s="2">
        <v>19929.0</v>
      </c>
      <c r="C4" s="2">
        <v>2403.0</v>
      </c>
      <c r="D4" s="2">
        <v>12.06</v>
      </c>
    </row>
    <row r="5">
      <c r="A5" s="2" t="s">
        <v>27</v>
      </c>
      <c r="B5" s="2">
        <v>9985.0</v>
      </c>
      <c r="C5" s="2">
        <v>1199.0</v>
      </c>
      <c r="D5" s="2">
        <v>12.01</v>
      </c>
    </row>
    <row r="6">
      <c r="A6" s="2" t="s">
        <v>30</v>
      </c>
      <c r="B6" s="2">
        <v>4962.0</v>
      </c>
      <c r="C6" s="2">
        <v>574.0</v>
      </c>
      <c r="D6" s="2">
        <v>11.57</v>
      </c>
    </row>
    <row r="7"/>
    <row r="8"/>
    <row r="9"/>
    <row r="10"/>
    <row r="1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14"/>
    <col customWidth="1" min="2" max="2" width="24.71"/>
    <col customWidth="1" min="3" max="3" width="22.0"/>
    <col customWidth="1" min="4" max="4" width="21.71"/>
    <col customWidth="1" min="5" max="11" width="8.71"/>
    <col customWidth="1" min="12" max="12" width="14.29"/>
    <col customWidth="1" min="13" max="13" width="24.86"/>
    <col customWidth="1" min="14" max="14" width="31.71"/>
    <col customWidth="1" min="15" max="15" width="29.43"/>
    <col customWidth="1" min="16" max="26" width="8.71"/>
  </cols>
  <sheetData>
    <row r="1">
      <c r="A1" s="1" t="s">
        <v>66</v>
      </c>
      <c r="B1" s="1" t="s">
        <v>22</v>
      </c>
      <c r="C1" s="1" t="s">
        <v>1</v>
      </c>
      <c r="D1" s="1" t="s">
        <v>23</v>
      </c>
    </row>
    <row r="2">
      <c r="A2" s="2" t="s">
        <v>67</v>
      </c>
      <c r="B2" s="2">
        <v>16631.0</v>
      </c>
      <c r="C2" s="2">
        <v>2057.0</v>
      </c>
      <c r="D2" s="13">
        <v>0.1237</v>
      </c>
    </row>
    <row r="3">
      <c r="A3" s="2" t="s">
        <v>68</v>
      </c>
      <c r="B3" s="2">
        <v>16700.0</v>
      </c>
      <c r="C3" s="2">
        <v>2045.0</v>
      </c>
      <c r="D3" s="13">
        <v>0.1225</v>
      </c>
    </row>
    <row r="4">
      <c r="A4" s="2" t="s">
        <v>69</v>
      </c>
      <c r="B4" s="2">
        <v>16797.0</v>
      </c>
      <c r="C4" s="2">
        <v>2033.0</v>
      </c>
      <c r="D4" s="13">
        <v>0.121</v>
      </c>
    </row>
    <row r="5">
      <c r="A5" s="2" t="s">
        <v>70</v>
      </c>
      <c r="B5" s="2">
        <v>16634.0</v>
      </c>
      <c r="C5" s="2">
        <v>2010.0</v>
      </c>
      <c r="D5" s="13">
        <v>0.1208</v>
      </c>
    </row>
    <row r="6">
      <c r="A6" s="2" t="s">
        <v>71</v>
      </c>
      <c r="B6" s="2">
        <v>16621.0</v>
      </c>
      <c r="C6" s="2">
        <v>1968.0</v>
      </c>
      <c r="D6" s="13">
        <v>0.1184</v>
      </c>
    </row>
    <row r="7">
      <c r="A7" s="2" t="s">
        <v>72</v>
      </c>
      <c r="B7" s="2">
        <v>16617.0</v>
      </c>
      <c r="C7" s="2">
        <v>1965.0</v>
      </c>
      <c r="D7" s="13">
        <v>0.1183</v>
      </c>
    </row>
    <row r="8"/>
    <row r="9"/>
    <row r="10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2.86"/>
    <col customWidth="1" min="2" max="2" width="25.0"/>
    <col customWidth="1" min="3" max="10" width="8.71"/>
    <col customWidth="1" min="11" max="11" width="21.57"/>
    <col customWidth="1" min="12" max="12" width="24.57"/>
    <col customWidth="1" min="13" max="13" width="25.57"/>
    <col customWidth="1" min="14" max="14" width="28.29"/>
    <col customWidth="1" min="15" max="26" width="8.71"/>
  </cols>
  <sheetData>
    <row r="1">
      <c r="A1" s="1" t="s">
        <v>0</v>
      </c>
      <c r="B1" s="1" t="s">
        <v>1</v>
      </c>
    </row>
    <row r="2">
      <c r="A2" s="2" t="s">
        <v>2</v>
      </c>
      <c r="B2" s="2">
        <v>1743.0</v>
      </c>
    </row>
    <row r="3">
      <c r="A3" s="2" t="s">
        <v>3</v>
      </c>
      <c r="B3" s="2">
        <v>1735.0</v>
      </c>
    </row>
    <row r="4">
      <c r="A4" s="2" t="s">
        <v>4</v>
      </c>
      <c r="B4" s="2">
        <v>1731.0</v>
      </c>
    </row>
    <row r="5">
      <c r="A5" s="2" t="s">
        <v>5</v>
      </c>
      <c r="B5" s="2">
        <v>1726.0</v>
      </c>
    </row>
    <row r="6">
      <c r="A6" s="2" t="s">
        <v>6</v>
      </c>
      <c r="B6" s="2">
        <v>1723.0</v>
      </c>
    </row>
    <row r="7">
      <c r="A7" s="2" t="s">
        <v>7</v>
      </c>
      <c r="B7" s="2">
        <v>1714.0</v>
      </c>
    </row>
    <row r="8">
      <c r="A8" s="2" t="s">
        <v>8</v>
      </c>
      <c r="B8" s="2">
        <v>1706.0</v>
      </c>
    </row>
    <row r="10"/>
    <row r="11"/>
    <row r="12"/>
    <row r="13"/>
    <row r="14"/>
    <row r="15"/>
    <row r="16"/>
    <row r="17"/>
    <row r="18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E12">
    <cfRule type="colorScale" priority="1">
      <colorScale>
        <cfvo type="min"/>
        <cfvo type="max"/>
        <color rgb="FFFFFFFF"/>
        <color rgb="FF57BB8A"/>
      </colorScale>
    </cfRule>
  </conditionalFormatting>
  <printOptions/>
  <pageMargins bottom="1.0" footer="0.0" header="0.0" left="0.75" right="0.75" top="1.0"/>
  <pageSetup orientation="landscape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5.86"/>
    <col customWidth="1" min="2" max="3" width="29.86"/>
    <col customWidth="1" min="4" max="4" width="25.14"/>
    <col customWidth="1" min="5" max="5" width="30.14"/>
    <col customWidth="1" min="6" max="9" width="8.71"/>
    <col customWidth="1" min="10" max="10" width="25.43"/>
    <col customWidth="1" min="11" max="11" width="30.0"/>
    <col customWidth="1" min="12" max="12" width="24.43"/>
    <col customWidth="1" min="13" max="27" width="8.71"/>
  </cols>
  <sheetData>
    <row r="1">
      <c r="A1" s="1" t="s">
        <v>31</v>
      </c>
      <c r="B1" s="12" t="s">
        <v>32</v>
      </c>
      <c r="C1" s="1" t="s">
        <v>22</v>
      </c>
      <c r="D1" s="1" t="s">
        <v>1</v>
      </c>
      <c r="E1" s="1" t="s">
        <v>23</v>
      </c>
    </row>
    <row r="2">
      <c r="A2" s="3" t="s">
        <v>33</v>
      </c>
      <c r="B2" s="3" t="str">
        <f t="shared" ref="B2:B13" si="1">TEXT(A2, "MMMM YYYY")</f>
        <v>January 2025</v>
      </c>
      <c r="C2" s="2">
        <v>8571.0</v>
      </c>
      <c r="D2" s="2">
        <v>1069.0</v>
      </c>
      <c r="E2" s="2">
        <v>12.47</v>
      </c>
    </row>
    <row r="3">
      <c r="A3" s="3" t="s">
        <v>34</v>
      </c>
      <c r="B3" s="3" t="str">
        <f t="shared" si="1"/>
        <v>February 2025</v>
      </c>
      <c r="C3" s="2">
        <v>7577.0</v>
      </c>
      <c r="D3" s="2">
        <v>903.0</v>
      </c>
      <c r="E3" s="2">
        <v>11.92</v>
      </c>
    </row>
    <row r="4">
      <c r="A4" s="3" t="s">
        <v>35</v>
      </c>
      <c r="B4" s="3" t="str">
        <f t="shared" si="1"/>
        <v>March 2025</v>
      </c>
      <c r="C4" s="2">
        <v>8515.0</v>
      </c>
      <c r="D4" s="2">
        <v>1084.0</v>
      </c>
      <c r="E4" s="2">
        <v>12.73</v>
      </c>
    </row>
    <row r="5">
      <c r="A5" s="3" t="s">
        <v>36</v>
      </c>
      <c r="B5" s="3" t="str">
        <f t="shared" si="1"/>
        <v>April 2025</v>
      </c>
      <c r="C5" s="2">
        <v>8080.0</v>
      </c>
      <c r="D5" s="2">
        <v>946.0</v>
      </c>
      <c r="E5" s="2">
        <v>11.71</v>
      </c>
    </row>
    <row r="6">
      <c r="A6" s="3" t="s">
        <v>37</v>
      </c>
      <c r="B6" s="3" t="str">
        <f t="shared" si="1"/>
        <v>May 2025</v>
      </c>
      <c r="C6" s="2">
        <v>8528.0</v>
      </c>
      <c r="D6" s="2">
        <v>1027.0</v>
      </c>
      <c r="E6" s="2">
        <v>12.04</v>
      </c>
    </row>
    <row r="7">
      <c r="A7" s="3" t="s">
        <v>38</v>
      </c>
      <c r="B7" s="3" t="str">
        <f t="shared" si="1"/>
        <v>June 2025</v>
      </c>
      <c r="C7" s="2">
        <v>8256.0</v>
      </c>
      <c r="D7" s="2">
        <v>1021.0</v>
      </c>
      <c r="E7" s="2">
        <v>12.37</v>
      </c>
    </row>
    <row r="8">
      <c r="A8" s="3" t="s">
        <v>39</v>
      </c>
      <c r="B8" s="3" t="str">
        <f t="shared" si="1"/>
        <v>July 2025</v>
      </c>
      <c r="C8" s="2">
        <v>8526.0</v>
      </c>
      <c r="D8" s="2">
        <v>1026.0</v>
      </c>
      <c r="E8" s="2">
        <v>12.03</v>
      </c>
    </row>
    <row r="9">
      <c r="A9" s="3" t="s">
        <v>40</v>
      </c>
      <c r="B9" s="3" t="str">
        <f t="shared" si="1"/>
        <v>August 2025</v>
      </c>
      <c r="C9" s="2">
        <v>8590.0</v>
      </c>
      <c r="D9" s="2">
        <v>1001.0</v>
      </c>
      <c r="E9" s="2">
        <v>11.65</v>
      </c>
    </row>
    <row r="10">
      <c r="A10" s="3" t="s">
        <v>41</v>
      </c>
      <c r="B10" s="3" t="str">
        <f t="shared" si="1"/>
        <v>September 2025</v>
      </c>
      <c r="C10" s="2">
        <v>8269.0</v>
      </c>
      <c r="D10" s="2">
        <v>1021.0</v>
      </c>
      <c r="E10" s="2">
        <v>12.35</v>
      </c>
    </row>
    <row r="11">
      <c r="A11" s="3" t="s">
        <v>42</v>
      </c>
      <c r="B11" s="3" t="str">
        <f t="shared" si="1"/>
        <v>October 2025</v>
      </c>
      <c r="C11" s="2">
        <v>8655.0</v>
      </c>
      <c r="D11" s="2">
        <v>1013.0</v>
      </c>
      <c r="E11" s="2">
        <v>11.7</v>
      </c>
    </row>
    <row r="12">
      <c r="A12" s="3" t="s">
        <v>43</v>
      </c>
      <c r="B12" s="3" t="str">
        <f t="shared" si="1"/>
        <v>November 2025</v>
      </c>
      <c r="C12" s="2">
        <v>8216.0</v>
      </c>
      <c r="D12" s="2">
        <v>978.0</v>
      </c>
      <c r="E12" s="2">
        <v>11.9</v>
      </c>
    </row>
    <row r="13">
      <c r="A13" s="3" t="s">
        <v>44</v>
      </c>
      <c r="B13" s="3" t="str">
        <f t="shared" si="1"/>
        <v>December 2025</v>
      </c>
      <c r="C13" s="2">
        <v>8217.0</v>
      </c>
      <c r="D13" s="2">
        <v>989.0</v>
      </c>
      <c r="E13" s="2">
        <v>12.04</v>
      </c>
    </row>
    <row r="14"/>
    <row r="15"/>
    <row r="16"/>
    <row r="17"/>
    <row r="18"/>
    <row r="19"/>
    <row r="20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2.0"/>
    <col customWidth="1" min="2" max="2" width="34.43"/>
    <col customWidth="1" min="3" max="3" width="34.71"/>
    <col customWidth="1" min="4" max="11" width="8.71"/>
    <col customWidth="1" min="12" max="12" width="18.29"/>
    <col customWidth="1" min="13" max="13" width="22.86"/>
    <col customWidth="1" min="14" max="14" width="27.0"/>
    <col customWidth="1" min="15" max="26" width="8.71"/>
  </cols>
  <sheetData>
    <row r="1">
      <c r="A1" s="1" t="s">
        <v>57</v>
      </c>
      <c r="B1" s="1" t="s">
        <v>22</v>
      </c>
      <c r="C1" s="1" t="s">
        <v>23</v>
      </c>
    </row>
    <row r="2">
      <c r="A2" s="2" t="s">
        <v>58</v>
      </c>
      <c r="B2" s="2">
        <v>12557.0</v>
      </c>
      <c r="C2" s="2">
        <v>12.38</v>
      </c>
    </row>
    <row r="3">
      <c r="A3" s="2" t="s">
        <v>59</v>
      </c>
      <c r="B3" s="2">
        <v>12479.0</v>
      </c>
      <c r="C3" s="2">
        <v>12.32</v>
      </c>
    </row>
    <row r="4">
      <c r="A4" s="2" t="s">
        <v>60</v>
      </c>
      <c r="B4" s="2">
        <v>12399.0</v>
      </c>
      <c r="C4" s="2">
        <v>12.28</v>
      </c>
    </row>
    <row r="5">
      <c r="A5" s="2" t="s">
        <v>61</v>
      </c>
      <c r="B5" s="2">
        <v>12298.0</v>
      </c>
      <c r="C5" s="2">
        <v>12.21</v>
      </c>
    </row>
    <row r="6">
      <c r="A6" s="2" t="s">
        <v>62</v>
      </c>
      <c r="B6" s="2">
        <v>12704.0</v>
      </c>
      <c r="C6" s="2">
        <v>12.07</v>
      </c>
    </row>
    <row r="7">
      <c r="A7" s="2" t="s">
        <v>63</v>
      </c>
      <c r="B7" s="2">
        <v>12358.0</v>
      </c>
      <c r="C7" s="2">
        <v>12.02</v>
      </c>
    </row>
    <row r="8">
      <c r="A8" s="2" t="s">
        <v>64</v>
      </c>
      <c r="B8" s="2">
        <v>12577.0</v>
      </c>
      <c r="C8" s="2">
        <v>11.75</v>
      </c>
    </row>
    <row r="9">
      <c r="A9" s="2" t="s">
        <v>65</v>
      </c>
      <c r="B9" s="2">
        <v>12628.0</v>
      </c>
      <c r="C9" s="2">
        <v>11.59</v>
      </c>
    </row>
    <row r="14"/>
    <row r="15"/>
    <row r="16"/>
    <row r="17"/>
    <row r="18"/>
    <row r="19"/>
    <row r="20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1.43"/>
    <col customWidth="1" min="2" max="2" width="33.29"/>
    <col customWidth="1" min="3" max="3" width="30.71"/>
    <col customWidth="1" min="4" max="10" width="8.71"/>
    <col customWidth="1" min="11" max="11" width="27.29"/>
    <col customWidth="1" min="12" max="12" width="28.43"/>
    <col customWidth="1" min="13" max="13" width="33.29"/>
    <col customWidth="1" min="14" max="26" width="8.71"/>
  </cols>
  <sheetData>
    <row r="1">
      <c r="A1" s="1" t="s">
        <v>82</v>
      </c>
      <c r="B1" s="1" t="s">
        <v>1</v>
      </c>
      <c r="C1" s="1" t="s">
        <v>83</v>
      </c>
    </row>
    <row r="2">
      <c r="A2" s="2">
        <v>1905.0</v>
      </c>
      <c r="B2" s="2">
        <v>18.0</v>
      </c>
      <c r="C2" s="2">
        <v>41087.49999999999</v>
      </c>
    </row>
    <row r="3">
      <c r="A3" s="2">
        <v>1992.0</v>
      </c>
      <c r="B3" s="2">
        <v>16.0</v>
      </c>
      <c r="C3" s="2">
        <v>18887.67000000001</v>
      </c>
    </row>
    <row r="4">
      <c r="A4" s="2">
        <v>2513.0</v>
      </c>
      <c r="B4" s="2">
        <v>15.0</v>
      </c>
      <c r="C4" s="2">
        <v>44494.74</v>
      </c>
    </row>
    <row r="5">
      <c r="A5" s="2">
        <v>2155.0</v>
      </c>
      <c r="B5" s="2">
        <v>14.0</v>
      </c>
      <c r="C5" s="2">
        <v>16590.04</v>
      </c>
    </row>
    <row r="6">
      <c r="A6" s="2">
        <v>2124.0</v>
      </c>
      <c r="B6" s="2">
        <v>14.0</v>
      </c>
      <c r="C6" s="2">
        <v>25797.69</v>
      </c>
    </row>
    <row r="7">
      <c r="A7" s="2">
        <v>2023.0</v>
      </c>
      <c r="B7" s="2">
        <v>14.0</v>
      </c>
      <c r="C7" s="2">
        <v>14758.4</v>
      </c>
    </row>
    <row r="8">
      <c r="A8" s="2">
        <v>1844.0</v>
      </c>
      <c r="B8" s="2">
        <v>14.0</v>
      </c>
      <c r="C8" s="2">
        <v>15418.02</v>
      </c>
    </row>
    <row r="9">
      <c r="A9" s="2">
        <v>1768.0</v>
      </c>
      <c r="B9" s="2">
        <v>14.0</v>
      </c>
      <c r="C9" s="2">
        <v>24114.28</v>
      </c>
    </row>
    <row r="10">
      <c r="A10" s="2">
        <v>1654.0</v>
      </c>
      <c r="B10" s="2">
        <v>14.0</v>
      </c>
      <c r="C10" s="2">
        <v>20984.98</v>
      </c>
    </row>
    <row r="11">
      <c r="A11" s="2">
        <v>1168.0</v>
      </c>
      <c r="B11" s="2">
        <v>14.0</v>
      </c>
      <c r="C11" s="2">
        <v>44203.21999999999</v>
      </c>
    </row>
    <row r="12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1.29"/>
    <col customWidth="1" min="2" max="2" width="31.57"/>
    <col customWidth="1" min="3" max="3" width="31.29"/>
    <col customWidth="1" min="4" max="7" width="8.71"/>
    <col customWidth="1" min="8" max="8" width="20.29"/>
    <col customWidth="1" min="9" max="9" width="27.71"/>
    <col customWidth="1" min="10" max="10" width="28.0"/>
    <col customWidth="1" min="11" max="26" width="8.71"/>
  </cols>
  <sheetData>
    <row r="1">
      <c r="A1" s="1" t="s">
        <v>73</v>
      </c>
      <c r="B1" s="1" t="s">
        <v>22</v>
      </c>
      <c r="C1" s="1" t="s">
        <v>23</v>
      </c>
    </row>
    <row r="2">
      <c r="A2" s="2" t="s">
        <v>74</v>
      </c>
      <c r="B2" s="2">
        <v>70037.0</v>
      </c>
      <c r="C2" s="2">
        <v>12.14</v>
      </c>
    </row>
    <row r="3">
      <c r="A3" s="2" t="s">
        <v>75</v>
      </c>
      <c r="B3" s="2">
        <v>5062.0</v>
      </c>
      <c r="C3" s="2">
        <v>12.11</v>
      </c>
    </row>
    <row r="4">
      <c r="A4" s="2" t="s">
        <v>76</v>
      </c>
      <c r="B4" s="2">
        <v>24901.0</v>
      </c>
      <c r="C4" s="2">
        <v>11.9</v>
      </c>
    </row>
    <row r="20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1.43"/>
    <col customWidth="1" min="2" max="2" width="33.86"/>
    <col customWidth="1" min="3" max="3" width="27.86"/>
    <col customWidth="1" min="4" max="26" width="8.71"/>
  </cols>
  <sheetData>
    <row r="1">
      <c r="A1" s="1" t="s">
        <v>77</v>
      </c>
      <c r="B1" s="1" t="s">
        <v>22</v>
      </c>
      <c r="C1" s="1" t="s">
        <v>23</v>
      </c>
    </row>
    <row r="2">
      <c r="A2" s="2" t="s">
        <v>78</v>
      </c>
      <c r="B2" s="2">
        <v>25170.0</v>
      </c>
      <c r="C2" s="2">
        <v>12.39</v>
      </c>
    </row>
    <row r="3">
      <c r="A3" s="2" t="s">
        <v>79</v>
      </c>
      <c r="B3" s="2">
        <v>24931.0</v>
      </c>
      <c r="C3" s="2">
        <v>12.12</v>
      </c>
    </row>
    <row r="4">
      <c r="A4" s="2" t="s">
        <v>80</v>
      </c>
      <c r="B4" s="2">
        <v>24915.0</v>
      </c>
      <c r="C4" s="2">
        <v>11.95</v>
      </c>
    </row>
    <row r="5">
      <c r="A5" s="2" t="s">
        <v>81</v>
      </c>
      <c r="B5" s="2">
        <v>24984.0</v>
      </c>
      <c r="C5" s="2">
        <v>11.84</v>
      </c>
    </row>
    <row r="12"/>
    <row r="13"/>
    <row r="14"/>
    <row r="15"/>
    <row r="16"/>
    <row r="17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71"/>
    <col customWidth="1" min="2" max="2" width="18.14"/>
    <col customWidth="1" min="3" max="3" width="25.86"/>
    <col customWidth="1" min="4" max="5" width="8.71"/>
    <col customWidth="1" min="6" max="6" width="21.71"/>
    <col customWidth="1" min="7" max="7" width="26.43"/>
    <col customWidth="1" min="8" max="8" width="19.71"/>
    <col customWidth="1" min="9" max="26" width="8.71"/>
  </cols>
  <sheetData>
    <row r="1">
      <c r="A1" s="1" t="s">
        <v>85</v>
      </c>
      <c r="B1" s="1" t="s">
        <v>22</v>
      </c>
      <c r="C1" s="1" t="s">
        <v>23</v>
      </c>
    </row>
    <row r="2">
      <c r="A2" s="2" t="s">
        <v>86</v>
      </c>
      <c r="B2" s="2">
        <v>4119.0</v>
      </c>
      <c r="C2" s="2">
        <v>13.18</v>
      </c>
    </row>
    <row r="3">
      <c r="A3" s="2" t="s">
        <v>87</v>
      </c>
      <c r="B3" s="2">
        <v>4157.0</v>
      </c>
      <c r="C3" s="2">
        <v>13.16</v>
      </c>
    </row>
    <row r="4">
      <c r="A4" s="2" t="s">
        <v>89</v>
      </c>
      <c r="B4" s="2">
        <v>4063.0</v>
      </c>
      <c r="C4" s="2">
        <v>12.48</v>
      </c>
    </row>
    <row r="5">
      <c r="A5" s="2" t="s">
        <v>91</v>
      </c>
      <c r="B5" s="2">
        <v>4081.0</v>
      </c>
      <c r="C5" s="2">
        <v>12.42</v>
      </c>
    </row>
    <row r="6">
      <c r="A6" s="2" t="s">
        <v>93</v>
      </c>
      <c r="B6" s="2">
        <v>4059.0</v>
      </c>
      <c r="C6" s="2">
        <v>12.27</v>
      </c>
    </row>
    <row r="7">
      <c r="A7" s="2" t="s">
        <v>95</v>
      </c>
      <c r="B7" s="2">
        <v>4205.0</v>
      </c>
      <c r="C7" s="2">
        <v>12.25</v>
      </c>
    </row>
    <row r="8">
      <c r="A8" s="2" t="s">
        <v>97</v>
      </c>
      <c r="B8" s="2">
        <v>4121.0</v>
      </c>
      <c r="C8" s="2">
        <v>12.21</v>
      </c>
    </row>
    <row r="9">
      <c r="A9" s="2" t="s">
        <v>98</v>
      </c>
      <c r="B9" s="2">
        <v>4144.0</v>
      </c>
      <c r="C9" s="2">
        <v>12.19</v>
      </c>
    </row>
    <row r="10">
      <c r="A10" s="2" t="s">
        <v>99</v>
      </c>
      <c r="B10" s="2">
        <v>4160.0</v>
      </c>
      <c r="C10" s="2">
        <v>12.16</v>
      </c>
    </row>
    <row r="11">
      <c r="A11" s="2" t="s">
        <v>96</v>
      </c>
      <c r="B11" s="2">
        <v>4206.0</v>
      </c>
      <c r="C11" s="2">
        <v>12.15</v>
      </c>
    </row>
    <row r="12">
      <c r="A12" s="2" t="s">
        <v>100</v>
      </c>
      <c r="B12" s="2">
        <v>4126.0</v>
      </c>
      <c r="C12" s="2">
        <v>12.14</v>
      </c>
    </row>
    <row r="13">
      <c r="A13" s="2" t="s">
        <v>101</v>
      </c>
      <c r="B13" s="2">
        <v>4275.0</v>
      </c>
      <c r="C13" s="2">
        <v>12.09</v>
      </c>
    </row>
    <row r="14">
      <c r="A14" s="2" t="s">
        <v>102</v>
      </c>
      <c r="B14" s="2">
        <v>4279.0</v>
      </c>
      <c r="C14" s="2">
        <v>12.04</v>
      </c>
    </row>
    <row r="15">
      <c r="A15" s="2" t="s">
        <v>104</v>
      </c>
      <c r="B15" s="2">
        <v>4251.0</v>
      </c>
      <c r="C15" s="2">
        <v>12.04</v>
      </c>
    </row>
    <row r="16">
      <c r="A16" s="2" t="s">
        <v>105</v>
      </c>
      <c r="B16" s="2">
        <v>4086.0</v>
      </c>
      <c r="C16" s="2">
        <v>11.94</v>
      </c>
    </row>
    <row r="17">
      <c r="A17" s="2" t="s">
        <v>106</v>
      </c>
      <c r="B17" s="2">
        <v>4197.0</v>
      </c>
      <c r="C17" s="2">
        <v>11.94</v>
      </c>
    </row>
    <row r="18">
      <c r="A18" s="2" t="s">
        <v>107</v>
      </c>
      <c r="B18" s="2">
        <v>4140.0</v>
      </c>
      <c r="C18" s="2">
        <v>11.93</v>
      </c>
    </row>
    <row r="19">
      <c r="A19" s="2" t="s">
        <v>92</v>
      </c>
      <c r="B19" s="2">
        <v>4258.0</v>
      </c>
      <c r="C19" s="2">
        <v>11.91</v>
      </c>
    </row>
    <row r="20">
      <c r="A20" s="2" t="s">
        <v>94</v>
      </c>
      <c r="B20" s="2">
        <v>4183.0</v>
      </c>
      <c r="C20" s="2">
        <v>11.88</v>
      </c>
    </row>
    <row r="21" ht="15.75" customHeight="1">
      <c r="A21" s="2" t="s">
        <v>88</v>
      </c>
      <c r="B21" s="2">
        <v>4208.0</v>
      </c>
      <c r="C21" s="2">
        <v>11.79</v>
      </c>
    </row>
    <row r="22" ht="15.75" customHeight="1">
      <c r="A22" s="2" t="s">
        <v>108</v>
      </c>
      <c r="B22" s="2">
        <v>4194.0</v>
      </c>
      <c r="C22" s="2">
        <v>11.66</v>
      </c>
    </row>
    <row r="23" ht="15.75" customHeight="1">
      <c r="A23" s="2" t="s">
        <v>103</v>
      </c>
      <c r="B23" s="2">
        <v>4141.0</v>
      </c>
      <c r="C23" s="2">
        <v>11.49</v>
      </c>
    </row>
    <row r="24" ht="15.75" customHeight="1">
      <c r="A24" s="2" t="s">
        <v>109</v>
      </c>
      <c r="B24" s="2">
        <v>4151.0</v>
      </c>
      <c r="C24" s="2">
        <v>11.44</v>
      </c>
    </row>
    <row r="25" ht="15.75" customHeight="1">
      <c r="A25" s="2" t="s">
        <v>90</v>
      </c>
      <c r="B25" s="2">
        <v>4196.0</v>
      </c>
      <c r="C25" s="2">
        <v>11.15</v>
      </c>
    </row>
    <row r="26" ht="15.75" customHeight="1"/>
    <row r="27" ht="15.75" customHeight="1">
      <c r="A27" s="15" t="s">
        <v>110</v>
      </c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3" max="3" width="37.0"/>
    <col customWidth="1" min="5" max="5" width="19.43"/>
  </cols>
  <sheetData/>
  <drawing r:id="rId1"/>
</worksheet>
</file>